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450e2e23bc59bc9/デスクトップ/ちちのフォルダ/PHOENIX/QUADRANT_TERMINAL_v0.4.0/rss/"/>
    </mc:Choice>
  </mc:AlternateContent>
  <xr:revisionPtr revIDLastSave="74" documentId="11_A919949BD4B83A604954C5DBB0AFE677A95EC8E8" xr6:coauthVersionLast="47" xr6:coauthVersionMax="47" xr10:uidLastSave="{47C04162-C2BA-452A-B319-21EAF6705984}"/>
  <bookViews>
    <workbookView minimized="1" xWindow="3135" yWindow="3165" windowWidth="10965" windowHeight="11295" xr2:uid="{00000000-000D-0000-FFFF-FFFF00000000}"/>
  </bookViews>
  <sheets>
    <sheet name="README" sheetId="1" r:id="rId1"/>
    <sheet name="Positions" sheetId="2" r:id="rId2"/>
    <sheet name="Capacity" sheetId="3" r:id="rId3"/>
    <sheet name="Orders" sheetId="4" r:id="rId4"/>
    <sheet name="Execution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  <c r="A1" i="3"/>
  <c r="A1" i="2"/>
  <c r="A1" i="4"/>
</calcChain>
</file>

<file path=xl/sharedStrings.xml><?xml version="1.0" encoding="utf-8"?>
<sst xmlns="http://schemas.openxmlformats.org/spreadsheetml/2006/main" count="167" uniqueCount="75">
  <si>
    <t>QUADRANT READ-ONLY RSS BRIDGE</t>
  </si>
  <si>
    <t>READ ONLY / EXECUTION AUTHORITY NONE</t>
  </si>
  <si>
    <t>1. Start MarketSpeed II and make RSS available.</t>
  </si>
  <si>
    <t>2. Keep this workbook open in Excel.</t>
  </si>
  <si>
    <t>3. Start QUADRANT backend with QUADRANT_DATA_SOURCE=rss.</t>
  </si>
  <si>
    <t>Only read-only RSS functions are present. Never add order/cancel/modify functions.</t>
  </si>
  <si>
    <t>約定日</t>
  </si>
  <si>
    <t>受渡日</t>
  </si>
  <si>
    <t>銘柄コード</t>
  </si>
  <si>
    <t>銘柄名称</t>
  </si>
  <si>
    <t>口座区分</t>
  </si>
  <si>
    <t>市場名称</t>
  </si>
  <si>
    <t>信用区分</t>
  </si>
  <si>
    <t>弁済期限</t>
  </si>
  <si>
    <t>取引</t>
  </si>
  <si>
    <t>売買</t>
  </si>
  <si>
    <t>約定数量</t>
  </si>
  <si>
    <t>約定単価</t>
  </si>
  <si>
    <t>約定代金</t>
  </si>
  <si>
    <t>税区分</t>
  </si>
  <si>
    <t>特別空売り料</t>
  </si>
  <si>
    <t>注文番号</t>
  </si>
  <si>
    <t>受付No</t>
  </si>
  <si>
    <t>通常注文状況</t>
  </si>
  <si>
    <t>逆指値注文状況</t>
  </si>
  <si>
    <t>アルゴ注文状況</t>
  </si>
  <si>
    <t>発注/受注日時</t>
  </si>
  <si>
    <t>執行条件</t>
  </si>
  <si>
    <t>注文期限</t>
  </si>
  <si>
    <t>注文数量</t>
  </si>
  <si>
    <t>注文単価</t>
  </si>
  <si>
    <t>注文区分</t>
  </si>
  <si>
    <t>逆指値条件</t>
  </si>
  <si>
    <t>セット注文</t>
  </si>
  <si>
    <t>セット注文条件</t>
  </si>
  <si>
    <t>注文失効日時</t>
  </si>
  <si>
    <t>注文失効理由</t>
  </si>
  <si>
    <t>入力経路</t>
  </si>
  <si>
    <t>アルゴ注文条件</t>
  </si>
  <si>
    <t>価格判定時刻</t>
  </si>
  <si>
    <t>価格判定情報/対象外理由</t>
  </si>
  <si>
    <t>現物買付可能額</t>
  </si>
  <si>
    <t>信用口座_保証金余裕額</t>
  </si>
  <si>
    <t>信用口座_信用新規建余力</t>
  </si>
  <si>
    <t>信用口座_保証金率(新規建)</t>
  </si>
  <si>
    <t>自動振替含む_保証金余裕額</t>
  </si>
  <si>
    <t>自動振替含む_信用新規建余力</t>
  </si>
  <si>
    <t>自動振替含む_保証金率(新規建)</t>
  </si>
  <si>
    <t xml:space="preserve">銘柄コード </t>
  </si>
  <si>
    <t>保有数量</t>
  </si>
  <si>
    <t>発注数量</t>
  </si>
  <si>
    <t>平均取得価額</t>
  </si>
  <si>
    <t>時価</t>
  </si>
  <si>
    <t>前日比</t>
  </si>
  <si>
    <t>前日比率</t>
  </si>
  <si>
    <t>時価評価額</t>
  </si>
  <si>
    <t>評価損益額</t>
  </si>
  <si>
    <t>評価損益率</t>
  </si>
  <si>
    <t>銘柄情報等</t>
  </si>
  <si>
    <t>JAX時価</t>
  </si>
  <si>
    <t>JNX時価</t>
  </si>
  <si>
    <t>PER</t>
  </si>
  <si>
    <t>PBR</t>
  </si>
  <si>
    <t>配当利回り</t>
  </si>
  <si>
    <t>ＣＡＩＣＡＤＩＧＩＴＡＬ</t>
  </si>
  <si>
    <t>特定</t>
  </si>
  <si>
    <t>決算</t>
  </si>
  <si>
    <t>極楽湯ホールディングス</t>
  </si>
  <si>
    <t>CA</t>
  </si>
  <si>
    <t>紀文食品</t>
  </si>
  <si>
    <t>ヴィア・ホールディングス</t>
  </si>
  <si>
    <t>キムラタン</t>
  </si>
  <si>
    <t>ＮＴＴ</t>
  </si>
  <si>
    <t>NISA</t>
  </si>
  <si>
    <t>--------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</si>
</sst>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6"/>
      <color rgb="FFF3C969"/>
      <name val="Carlito"/>
      <family val="2"/>
    </font>
    <font>
      <b/>
      <sz val="12"/>
      <color rgb="FFC94A42"/>
      <name val="Carlito"/>
      <family val="2"/>
    </font>
    <font>
      <b/>
      <sz val="11"/>
      <color rgb="FFF3C969"/>
      <name val="Carlito"/>
      <family val="2"/>
    </font>
    <font>
      <sz val="11"/>
      <name val="Carlito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51A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1" applyFont="1" applyFill="1"/>
    <xf numFmtId="0" fontId="2" fillId="0" borderId="0" xfId="1" applyFont="1"/>
    <xf numFmtId="0" fontId="3" fillId="2" borderId="0" xfId="1" applyFont="1" applyFill="1"/>
    <xf numFmtId="0" fontId="0" fillId="0" borderId="0" xfId="0" quotePrefix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8285d31cd89646f39b161195b13c2761">
      <tp t="s">
        <v/>
        <stp/>
        <stp>CapacityList</stp>
        <stp>2186425966320,0,0,0,0</stp>
        <tr r="A1" s="3"/>
      </tp>
    </main>
    <main first="rtdsrv.8285d31cd89646f39b161195b13c2761">
      <tp t="s">
        <v/>
        <stp/>
        <stp>ExecutionList</stp>
        <stp>2186426017392,0,0,0,0</stp>
        <stp>0</stp>
        <stp/>
        <stp>A</stp>
        <stp>0</stp>
        <stp>0</stp>
        <tr r="A1" s="5"/>
      </tp>
    </main>
    <main first="rtdsrv.8285d31cd89646f39b161195b13c2761">
      <tp t="s">
        <v/>
        <stp/>
        <stp>OrderList</stp>
        <stp>2186425947504,0,0,0,0</stp>
        <stp>0</stp>
        <stp>0</stp>
        <stp/>
        <stp>A</stp>
        <stp>0</stp>
        <stp>0</stp>
        <stp>0</stp>
        <stp>0</stp>
        <stp>0</stp>
        <tr r="A1" s="4"/>
      </tp>
    </main>
    <main first="rtdsrv.8285d31cd89646f39b161195b13c2761">
      <tp t="s">
        <v/>
        <stp/>
        <stp>PositionList</stp>
        <stp>2186426025456,0,0,0,0</stp>
        <stp/>
        <stp>A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x14ac:dyDescent="0.25"/>
  <cols>
    <col min="1" max="1" width="88" customWidth="1"/>
  </cols>
  <sheetData>
    <row r="1" spans="1:1" ht="21" x14ac:dyDescent="0.35">
      <c r="A1" s="1" t="s">
        <v>0</v>
      </c>
    </row>
    <row r="2" spans="1:1" ht="15.75" x14ac:dyDescent="0.25">
      <c r="A2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"/>
  <sheetViews>
    <sheetView workbookViewId="0"/>
  </sheetViews>
  <sheetFormatPr defaultRowHeight="15" x14ac:dyDescent="0.25"/>
  <sheetData>
    <row r="1" spans="1:18" x14ac:dyDescent="0.25">
      <c r="A1" s="3" t="str">
        <f>_xll.RssPositionList($A$2:$R$2)</f>
        <v>=@RssPositionList($A$2:$R$2) =&gt; 接続待ち</v>
      </c>
    </row>
    <row r="2" spans="1:18" x14ac:dyDescent="0.25">
      <c r="A2" t="s">
        <v>48</v>
      </c>
      <c r="B2" t="s">
        <v>9</v>
      </c>
      <c r="C2" t="s">
        <v>10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</row>
    <row r="3" spans="1:18" x14ac:dyDescent="0.25">
      <c r="A3">
        <v>2315</v>
      </c>
      <c r="B3" t="s">
        <v>64</v>
      </c>
      <c r="C3" t="s">
        <v>65</v>
      </c>
      <c r="D3">
        <v>100</v>
      </c>
      <c r="E3">
        <v>0</v>
      </c>
      <c r="F3">
        <v>110.55</v>
      </c>
      <c r="G3">
        <v>62</v>
      </c>
      <c r="H3">
        <v>-3</v>
      </c>
      <c r="I3">
        <v>-4.62</v>
      </c>
      <c r="J3">
        <v>6200</v>
      </c>
      <c r="K3">
        <v>-4855</v>
      </c>
      <c r="L3">
        <v>-43.916780000000003</v>
      </c>
      <c r="M3" t="s">
        <v>66</v>
      </c>
      <c r="N3">
        <v>0</v>
      </c>
      <c r="O3">
        <v>62.3</v>
      </c>
      <c r="P3">
        <v>124</v>
      </c>
      <c r="Q3">
        <v>1.81</v>
      </c>
      <c r="R3">
        <v>0</v>
      </c>
    </row>
    <row r="4" spans="1:18" x14ac:dyDescent="0.25">
      <c r="A4">
        <v>2340</v>
      </c>
      <c r="B4" t="s">
        <v>67</v>
      </c>
      <c r="C4" t="s">
        <v>65</v>
      </c>
      <c r="D4">
        <v>100</v>
      </c>
      <c r="E4">
        <v>0</v>
      </c>
      <c r="F4">
        <v>476.55</v>
      </c>
      <c r="G4">
        <v>535</v>
      </c>
      <c r="H4">
        <v>3</v>
      </c>
      <c r="I4">
        <v>0.56000000000000005</v>
      </c>
      <c r="J4">
        <v>53500</v>
      </c>
      <c r="K4">
        <v>5845</v>
      </c>
      <c r="L4">
        <v>12.26524</v>
      </c>
      <c r="M4" t="s">
        <v>68</v>
      </c>
      <c r="N4">
        <v>0</v>
      </c>
      <c r="O4">
        <v>535</v>
      </c>
      <c r="P4">
        <v>17.71</v>
      </c>
      <c r="Q4">
        <v>3.67</v>
      </c>
      <c r="R4">
        <v>1.1200000000000001</v>
      </c>
    </row>
    <row r="5" spans="1:18" x14ac:dyDescent="0.25">
      <c r="A5">
        <v>2933</v>
      </c>
      <c r="B5" t="s">
        <v>69</v>
      </c>
      <c r="C5" t="s">
        <v>65</v>
      </c>
      <c r="D5">
        <v>1</v>
      </c>
      <c r="E5">
        <v>0</v>
      </c>
      <c r="F5">
        <v>1186</v>
      </c>
      <c r="G5">
        <v>1131</v>
      </c>
      <c r="H5">
        <v>0</v>
      </c>
      <c r="I5">
        <v>0</v>
      </c>
      <c r="J5">
        <v>1131</v>
      </c>
      <c r="K5">
        <v>-55</v>
      </c>
      <c r="L5">
        <v>-4.6374370000000003</v>
      </c>
      <c r="M5" t="s">
        <v>68</v>
      </c>
      <c r="N5">
        <v>0</v>
      </c>
      <c r="O5">
        <v>833</v>
      </c>
      <c r="P5">
        <v>10.08</v>
      </c>
      <c r="Q5">
        <v>1</v>
      </c>
      <c r="R5">
        <v>2.0299999999999998</v>
      </c>
    </row>
    <row r="6" spans="1:18" x14ac:dyDescent="0.25">
      <c r="A6">
        <v>7918</v>
      </c>
      <c r="B6" t="s">
        <v>70</v>
      </c>
      <c r="C6" t="s">
        <v>65</v>
      </c>
      <c r="D6">
        <v>100</v>
      </c>
      <c r="E6">
        <v>0</v>
      </c>
      <c r="F6">
        <v>105.55</v>
      </c>
      <c r="G6">
        <v>106</v>
      </c>
      <c r="H6">
        <v>0</v>
      </c>
      <c r="I6">
        <v>0</v>
      </c>
      <c r="J6">
        <v>10600</v>
      </c>
      <c r="K6">
        <v>45</v>
      </c>
      <c r="L6">
        <v>0.42633799999999999</v>
      </c>
      <c r="M6" t="s">
        <v>68</v>
      </c>
      <c r="N6">
        <v>58.1</v>
      </c>
      <c r="O6">
        <v>109</v>
      </c>
      <c r="P6">
        <v>151.41999999999999</v>
      </c>
      <c r="Q6">
        <v>0</v>
      </c>
      <c r="R6">
        <v>0</v>
      </c>
    </row>
    <row r="7" spans="1:18" x14ac:dyDescent="0.25">
      <c r="A7">
        <v>8107</v>
      </c>
      <c r="B7" t="s">
        <v>71</v>
      </c>
      <c r="C7" t="s">
        <v>65</v>
      </c>
      <c r="D7">
        <v>200</v>
      </c>
      <c r="E7">
        <v>0</v>
      </c>
      <c r="F7">
        <v>52.274999999999999</v>
      </c>
      <c r="G7">
        <v>31</v>
      </c>
      <c r="H7">
        <v>0</v>
      </c>
      <c r="I7">
        <v>0</v>
      </c>
      <c r="J7">
        <v>6200</v>
      </c>
      <c r="K7">
        <v>-4255</v>
      </c>
      <c r="L7">
        <v>-40.698231</v>
      </c>
      <c r="M7" t="s">
        <v>68</v>
      </c>
      <c r="N7">
        <v>41.9</v>
      </c>
      <c r="O7">
        <v>30.2</v>
      </c>
      <c r="P7">
        <v>310</v>
      </c>
      <c r="Q7">
        <v>5.18</v>
      </c>
      <c r="R7">
        <v>0</v>
      </c>
    </row>
    <row r="8" spans="1:18" x14ac:dyDescent="0.25">
      <c r="A8">
        <v>9432</v>
      </c>
      <c r="B8" t="s">
        <v>72</v>
      </c>
      <c r="C8" t="s">
        <v>65</v>
      </c>
      <c r="D8">
        <v>400</v>
      </c>
      <c r="E8">
        <v>0</v>
      </c>
      <c r="F8">
        <v>153.72499999999999</v>
      </c>
      <c r="G8">
        <v>177.1</v>
      </c>
      <c r="H8">
        <v>-1</v>
      </c>
      <c r="I8">
        <v>-0.56000000000000005</v>
      </c>
      <c r="J8">
        <v>70840</v>
      </c>
      <c r="K8">
        <v>9350</v>
      </c>
      <c r="L8">
        <v>15.205724999999999</v>
      </c>
      <c r="M8" t="s">
        <v>68</v>
      </c>
      <c r="N8">
        <v>177.5</v>
      </c>
      <c r="O8">
        <v>176.8</v>
      </c>
      <c r="P8">
        <v>14.51</v>
      </c>
      <c r="Q8">
        <v>1.48</v>
      </c>
      <c r="R8">
        <v>3.05</v>
      </c>
    </row>
    <row r="9" spans="1:18" x14ac:dyDescent="0.25">
      <c r="A9">
        <v>9432</v>
      </c>
      <c r="B9" t="s">
        <v>72</v>
      </c>
      <c r="C9" t="s">
        <v>73</v>
      </c>
      <c r="D9">
        <v>100</v>
      </c>
      <c r="E9">
        <v>0</v>
      </c>
      <c r="F9">
        <v>185.3</v>
      </c>
      <c r="G9">
        <v>177.1</v>
      </c>
      <c r="H9">
        <v>-1</v>
      </c>
      <c r="I9">
        <v>-0.56000000000000005</v>
      </c>
      <c r="J9">
        <v>17710</v>
      </c>
      <c r="K9">
        <v>-820</v>
      </c>
      <c r="L9">
        <v>-4.4252560000000001</v>
      </c>
      <c r="M9" t="s">
        <v>68</v>
      </c>
      <c r="N9">
        <v>177.5</v>
      </c>
      <c r="O9">
        <v>176.8</v>
      </c>
      <c r="P9">
        <v>14.51</v>
      </c>
      <c r="Q9">
        <v>1.48</v>
      </c>
      <c r="R9">
        <v>3.05</v>
      </c>
    </row>
    <row r="10" spans="1:18" x14ac:dyDescent="0.25">
      <c r="A10" s="4" t="s">
        <v>74</v>
      </c>
      <c r="B10" s="4" t="s">
        <v>74</v>
      </c>
      <c r="C10" s="4" t="s">
        <v>74</v>
      </c>
      <c r="D10" s="4" t="s">
        <v>74</v>
      </c>
      <c r="E10" s="4" t="s">
        <v>74</v>
      </c>
      <c r="F10" s="4" t="s">
        <v>74</v>
      </c>
      <c r="G10" s="4" t="s">
        <v>74</v>
      </c>
      <c r="H10" s="4" t="s">
        <v>74</v>
      </c>
      <c r="I10" s="4" t="s">
        <v>74</v>
      </c>
      <c r="J10" s="4" t="s">
        <v>74</v>
      </c>
      <c r="K10" s="4" t="s">
        <v>74</v>
      </c>
      <c r="L10" s="4" t="s">
        <v>74</v>
      </c>
      <c r="M10" s="4" t="s">
        <v>74</v>
      </c>
      <c r="N10" s="4" t="s">
        <v>74</v>
      </c>
      <c r="O10" s="4" t="s">
        <v>74</v>
      </c>
      <c r="P10" s="4" t="s">
        <v>74</v>
      </c>
      <c r="Q10" s="4" t="s">
        <v>74</v>
      </c>
      <c r="R10" s="4" t="s">
        <v>74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5" x14ac:dyDescent="0.25"/>
  <sheetData>
    <row r="1" spans="1:7" x14ac:dyDescent="0.25">
      <c r="A1" s="3" t="str">
        <f>_xll.RssCapacityList($A$2:$G$2)</f>
        <v>=@RssCapacityList($A$2:$G$2) =&gt; 接続待ち</v>
      </c>
    </row>
    <row r="2" spans="1:7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 x14ac:dyDescent="0.25">
      <c r="A3">
        <v>1049952</v>
      </c>
    </row>
    <row r="4" spans="1:7" x14ac:dyDescent="0.25">
      <c r="A4" s="4" t="s">
        <v>74</v>
      </c>
      <c r="B4" s="4" t="s">
        <v>74</v>
      </c>
      <c r="C4" s="4" t="s">
        <v>74</v>
      </c>
      <c r="D4" s="4" t="s">
        <v>74</v>
      </c>
      <c r="E4" s="4" t="s">
        <v>74</v>
      </c>
      <c r="F4" s="4" t="s">
        <v>74</v>
      </c>
      <c r="G4" s="4" t="s">
        <v>74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"/>
  <sheetViews>
    <sheetView workbookViewId="0"/>
  </sheetViews>
  <sheetFormatPr defaultRowHeight="15" x14ac:dyDescent="0.25"/>
  <sheetData>
    <row r="1" spans="1:30" x14ac:dyDescent="0.25">
      <c r="A1" s="3" t="str">
        <f>_xll.RssOrderList($A$2:$AD$2)</f>
        <v>=@RssOrderList($A$2:$AD$2) =&gt; 接続待ち</v>
      </c>
    </row>
    <row r="2" spans="1:3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26</v>
      </c>
      <c r="M2" t="s">
        <v>15</v>
      </c>
      <c r="N2" t="s">
        <v>14</v>
      </c>
      <c r="O2" t="s">
        <v>27</v>
      </c>
      <c r="P2" t="s">
        <v>28</v>
      </c>
      <c r="Q2" t="s">
        <v>29</v>
      </c>
      <c r="R2" t="s">
        <v>16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19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</row>
    <row r="3" spans="1:30" x14ac:dyDescent="0.25">
      <c r="A3" s="4" t="s">
        <v>74</v>
      </c>
      <c r="B3" s="4" t="s">
        <v>74</v>
      </c>
      <c r="C3" s="4" t="s">
        <v>74</v>
      </c>
      <c r="D3" s="4" t="s">
        <v>74</v>
      </c>
      <c r="E3" s="4" t="s">
        <v>74</v>
      </c>
      <c r="F3" s="4" t="s">
        <v>74</v>
      </c>
      <c r="G3" s="4" t="s">
        <v>74</v>
      </c>
      <c r="H3" s="4" t="s">
        <v>74</v>
      </c>
      <c r="I3" s="4" t="s">
        <v>74</v>
      </c>
      <c r="J3" s="4" t="s">
        <v>74</v>
      </c>
      <c r="K3" s="4" t="s">
        <v>74</v>
      </c>
      <c r="L3" s="4" t="s">
        <v>74</v>
      </c>
      <c r="M3" s="4" t="s">
        <v>74</v>
      </c>
      <c r="N3" s="4" t="s">
        <v>74</v>
      </c>
      <c r="O3" s="4" t="s">
        <v>74</v>
      </c>
      <c r="P3" s="4" t="s">
        <v>74</v>
      </c>
      <c r="Q3" s="4" t="s">
        <v>74</v>
      </c>
      <c r="R3" s="4" t="s">
        <v>74</v>
      </c>
      <c r="S3" s="4" t="s">
        <v>74</v>
      </c>
      <c r="T3" s="4" t="s">
        <v>74</v>
      </c>
      <c r="U3" s="4" t="s">
        <v>74</v>
      </c>
      <c r="V3" s="4" t="s">
        <v>74</v>
      </c>
      <c r="W3" s="4" t="s">
        <v>74</v>
      </c>
      <c r="X3" s="4" t="s">
        <v>74</v>
      </c>
      <c r="Y3" s="4" t="s">
        <v>74</v>
      </c>
      <c r="Z3" s="4" t="s">
        <v>74</v>
      </c>
      <c r="AA3" s="4" t="s">
        <v>74</v>
      </c>
      <c r="AB3" s="4" t="s">
        <v>74</v>
      </c>
      <c r="AC3" s="4" t="s">
        <v>74</v>
      </c>
      <c r="AD3" s="4" t="s">
        <v>74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/>
  </sheetViews>
  <sheetFormatPr defaultRowHeight="15" x14ac:dyDescent="0.25"/>
  <sheetData>
    <row r="1" spans="1:15" x14ac:dyDescent="0.25">
      <c r="A1" s="3" t="str">
        <f>_xll.RssExecutionList($A$2:$O$2)</f>
        <v>=@RssExecutionList($A$2:$O$2) =&gt; 接続待ち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</row>
    <row r="3" spans="1:15" x14ac:dyDescent="0.25">
      <c r="A3" s="4" t="s">
        <v>74</v>
      </c>
      <c r="B3" s="4" t="s">
        <v>74</v>
      </c>
      <c r="C3" s="4" t="s">
        <v>74</v>
      </c>
      <c r="D3" s="4" t="s">
        <v>74</v>
      </c>
      <c r="E3" s="4" t="s">
        <v>74</v>
      </c>
      <c r="F3" s="4" t="s">
        <v>74</v>
      </c>
      <c r="G3" s="4" t="s">
        <v>74</v>
      </c>
      <c r="H3" s="4" t="s">
        <v>74</v>
      </c>
      <c r="I3" s="4" t="s">
        <v>74</v>
      </c>
      <c r="J3" s="4" t="s">
        <v>74</v>
      </c>
      <c r="K3" s="4" t="s">
        <v>74</v>
      </c>
      <c r="L3" s="4" t="s">
        <v>74</v>
      </c>
      <c r="M3" s="4" t="s">
        <v>74</v>
      </c>
      <c r="N3" s="4" t="s">
        <v>74</v>
      </c>
      <c r="O3" s="4" t="s">
        <v>74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README</vt:lpstr>
      <vt:lpstr>Positions</vt:lpstr>
      <vt:lpstr>Capacity</vt:lpstr>
      <vt:lpstr>Orders</vt:lpstr>
      <vt:lpstr>Executions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敦史 正木</cp:lastModifiedBy>
  <dcterms:modified xsi:type="dcterms:W3CDTF">2026-09-16T12:40:42Z</dcterms:modified>
</cp:coreProperties>
</file>